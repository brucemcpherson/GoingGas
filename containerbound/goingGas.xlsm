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\Documents\excel\"/>
    </mc:Choice>
  </mc:AlternateContent>
  <bookViews>
    <workbookView xWindow="0" yWindow="0" windowWidth="28800" windowHeight="11835" activeTab="1"/>
  </bookViews>
  <sheets>
    <sheet name="lookup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2" l="1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D2" i="2"/>
  <c r="E2" i="2" s="1"/>
  <c r="C2" i="2"/>
  <c r="F3" i="2" s="1"/>
  <c r="D3" i="1"/>
  <c r="C5" i="1"/>
  <c r="C23" i="1"/>
  <c r="D2" i="1"/>
  <c r="C11" i="1"/>
  <c r="C15" i="1"/>
  <c r="C3" i="1"/>
  <c r="C26" i="1"/>
  <c r="C20" i="1"/>
  <c r="C9" i="1"/>
  <c r="C4" i="1"/>
  <c r="C16" i="1"/>
  <c r="C19" i="1"/>
  <c r="C21" i="1"/>
  <c r="C18" i="1"/>
  <c r="C10" i="1"/>
  <c r="C25" i="1"/>
  <c r="C6" i="1"/>
  <c r="C17" i="1"/>
  <c r="C12" i="1"/>
  <c r="C7" i="1"/>
  <c r="C8" i="1"/>
  <c r="C22" i="1"/>
  <c r="C13" i="1"/>
  <c r="C14" i="1"/>
  <c r="C24" i="1"/>
  <c r="C2" i="1"/>
  <c r="F6" i="2" l="1"/>
  <c r="F5" i="2"/>
  <c r="F4" i="2"/>
  <c r="F26" i="2"/>
  <c r="F22" i="2"/>
  <c r="F18" i="2"/>
  <c r="F14" i="2"/>
  <c r="F10" i="2"/>
  <c r="F25" i="2"/>
  <c r="F21" i="2"/>
  <c r="F17" i="2"/>
  <c r="F13" i="2"/>
  <c r="F9" i="2"/>
  <c r="F24" i="2"/>
  <c r="F20" i="2"/>
  <c r="F16" i="2"/>
  <c r="F12" i="2"/>
  <c r="F8" i="2"/>
  <c r="F2" i="2"/>
  <c r="F23" i="2"/>
  <c r="F19" i="2"/>
  <c r="F15" i="2"/>
  <c r="F11" i="2"/>
  <c r="F7" i="2"/>
  <c r="D26" i="1"/>
  <c r="D6" i="1"/>
  <c r="D4" i="1"/>
  <c r="D13" i="1"/>
  <c r="D15" i="1"/>
  <c r="D14" i="1"/>
  <c r="D12" i="1"/>
  <c r="D25" i="1"/>
  <c r="D8" i="1"/>
  <c r="D17" i="1"/>
  <c r="D5" i="1"/>
  <c r="D7" i="1"/>
  <c r="D18" i="1"/>
  <c r="D21" i="1"/>
  <c r="D9" i="1"/>
  <c r="D10" i="1"/>
  <c r="D11" i="1"/>
  <c r="D22" i="1"/>
  <c r="D24" i="1"/>
  <c r="D23" i="1"/>
  <c r="D20" i="1"/>
  <c r="D16" i="1"/>
  <c r="D19" i="1"/>
</calcChain>
</file>

<file path=xl/comments1.xml><?xml version="1.0" encoding="utf-8"?>
<comments xmlns="http://schemas.openxmlformats.org/spreadsheetml/2006/main">
  <authors>
    <author>Bruce Mcpherson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abc</t>
        </r>
      </text>
    </comment>
  </commentList>
</comments>
</file>

<file path=xl/sharedStrings.xml><?xml version="1.0" encoding="utf-8"?>
<sst xmlns="http://schemas.openxmlformats.org/spreadsheetml/2006/main" count="58" uniqueCount="57">
  <si>
    <t>carrier</t>
  </si>
  <si>
    <t>name</t>
  </si>
  <si>
    <t>MY</t>
  </si>
  <si>
    <t>Maya Airways</t>
  </si>
  <si>
    <t>OZ</t>
  </si>
  <si>
    <t>Asiana Airlines</t>
  </si>
  <si>
    <t>OS</t>
  </si>
  <si>
    <t>Austrian Airlines</t>
  </si>
  <si>
    <t>UP</t>
  </si>
  <si>
    <t>Bahamas Air</t>
  </si>
  <si>
    <t>HG</t>
  </si>
  <si>
    <t>Niki</t>
  </si>
  <si>
    <t>HW</t>
  </si>
  <si>
    <t>North Wright Air</t>
  </si>
  <si>
    <t>ET</t>
  </si>
  <si>
    <t>Ethiopian Airlines</t>
  </si>
  <si>
    <t>MD</t>
  </si>
  <si>
    <t>Air Madagascar</t>
  </si>
  <si>
    <t>MK</t>
  </si>
  <si>
    <t>Air Mauritius</t>
  </si>
  <si>
    <t>9U</t>
  </si>
  <si>
    <t>Air Moldova</t>
  </si>
  <si>
    <t>KL</t>
  </si>
  <si>
    <t>KLM Airlines</t>
  </si>
  <si>
    <t>LX</t>
  </si>
  <si>
    <t>Swiss</t>
  </si>
  <si>
    <t>UA</t>
  </si>
  <si>
    <t>United Airlines</t>
  </si>
  <si>
    <t>US</t>
  </si>
  <si>
    <t>US Airways</t>
  </si>
  <si>
    <t>EQ</t>
  </si>
  <si>
    <t>TAME</t>
  </si>
  <si>
    <t>EJ</t>
  </si>
  <si>
    <t>New England Airlines</t>
  </si>
  <si>
    <t>DB</t>
  </si>
  <si>
    <t>Brit Air</t>
  </si>
  <si>
    <t>WP</t>
  </si>
  <si>
    <t>Island Air</t>
  </si>
  <si>
    <t>PM</t>
  </si>
  <si>
    <t>Tropic Air</t>
  </si>
  <si>
    <t>RE</t>
  </si>
  <si>
    <t>Aer Arann Express</t>
  </si>
  <si>
    <t>PX</t>
  </si>
  <si>
    <t>Air Niugini</t>
  </si>
  <si>
    <t>SU</t>
  </si>
  <si>
    <t>Aeroflot Russian Airlines</t>
  </si>
  <si>
    <t>CZ</t>
  </si>
  <si>
    <t>China Southern Airlines</t>
  </si>
  <si>
    <t>LH</t>
  </si>
  <si>
    <t>Lufthansa Airlines</t>
  </si>
  <si>
    <t>RJ</t>
  </si>
  <si>
    <t>Royal Jordanian</t>
  </si>
  <si>
    <t>capitalized</t>
  </si>
  <si>
    <t>total elapsed</t>
  </si>
  <si>
    <t>execution</t>
  </si>
  <si>
    <t>start</t>
  </si>
  <si>
    <t>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</si>
</sst>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name val="Arial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theme="0"/>
      <name val="Arial"/>
      <family val="2"/>
    </font>
    <font>
      <sz val="12.1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41478"/>
        <bgColor indexed="64"/>
      </patternFill>
    </fill>
    <fill>
      <patternFill patternType="solid">
        <fgColor rgb="FF141478"/>
        <bgColor theme="4" tint="0.79998168889431442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 applyAlignment="1"/>
    <xf numFmtId="49" fontId="1" fillId="2" borderId="4" xfId="0" applyNumberFormat="1" applyFont="1" applyFill="1" applyBorder="1" applyAlignment="1"/>
    <xf numFmtId="49" fontId="2" fillId="3" borderId="4" xfId="0" applyNumberFormat="1" applyFont="1" applyFill="1" applyBorder="1" applyAlignment="1"/>
    <xf numFmtId="49" fontId="2" fillId="3" borderId="1" xfId="0" applyNumberFormat="1" applyFont="1" applyFill="1" applyBorder="1" applyAlignment="1"/>
    <xf numFmtId="49" fontId="1" fillId="4" borderId="3" xfId="0" applyNumberFormat="1" applyFont="1" applyFill="1" applyBorder="1" applyAlignment="1"/>
    <xf numFmtId="49" fontId="5" fillId="5" borderId="3" xfId="0" applyNumberFormat="1" applyFont="1" applyFill="1" applyBorder="1" applyAlignment="1"/>
    <xf numFmtId="49" fontId="5" fillId="5" borderId="2" xfId="0" applyNumberFormat="1" applyFont="1" applyFill="1" applyBorder="1" applyAlignment="1"/>
    <xf numFmtId="0" fontId="0" fillId="0" borderId="0" xfId="0" applyNumberFormat="1" applyAlignment="1"/>
    <xf numFmtId="0" fontId="4" fillId="2" borderId="0" xfId="0" applyNumberFormat="1" applyFont="1" applyFill="1" applyAlignment="1"/>
    <xf numFmtId="1" fontId="6" fillId="6" borderId="1" xfId="0" applyNumberFormat="1" applyFont="1" applyFill="1" applyBorder="1" applyAlignment="1">
      <alignment horizontal="right" wrapText="1"/>
    </xf>
    <xf numFmtId="1" fontId="7" fillId="0" borderId="1" xfId="0" applyNumberFormat="1" applyFont="1" applyBorder="1" applyAlignment="1">
      <alignment horizontal="right" wrapText="1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</a:t>
            </a:r>
            <a:r>
              <a:rPr lang="en-US" baseline="0"/>
              <a:t> function execution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finish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Sheet1!$F$2:$F$26</c:f>
              <c:numCache>
                <c:formatCode>0</c:formatCode>
                <c:ptCount val="25"/>
                <c:pt idx="0">
                  <c:v>136</c:v>
                </c:pt>
                <c:pt idx="1">
                  <c:v>599</c:v>
                </c:pt>
                <c:pt idx="2">
                  <c:v>748</c:v>
                </c:pt>
                <c:pt idx="3">
                  <c:v>609</c:v>
                </c:pt>
                <c:pt idx="4">
                  <c:v>647</c:v>
                </c:pt>
                <c:pt idx="5">
                  <c:v>287</c:v>
                </c:pt>
                <c:pt idx="6">
                  <c:v>878</c:v>
                </c:pt>
                <c:pt idx="7">
                  <c:v>816</c:v>
                </c:pt>
                <c:pt idx="8">
                  <c:v>775</c:v>
                </c:pt>
                <c:pt idx="9">
                  <c:v>477</c:v>
                </c:pt>
                <c:pt idx="10">
                  <c:v>266</c:v>
                </c:pt>
                <c:pt idx="11">
                  <c:v>518</c:v>
                </c:pt>
                <c:pt idx="12">
                  <c:v>522</c:v>
                </c:pt>
                <c:pt idx="13">
                  <c:v>690</c:v>
                </c:pt>
                <c:pt idx="14">
                  <c:v>390</c:v>
                </c:pt>
                <c:pt idx="15">
                  <c:v>263</c:v>
                </c:pt>
                <c:pt idx="16">
                  <c:v>374</c:v>
                </c:pt>
                <c:pt idx="17">
                  <c:v>370</c:v>
                </c:pt>
                <c:pt idx="18">
                  <c:v>0</c:v>
                </c:pt>
                <c:pt idx="19">
                  <c:v>122</c:v>
                </c:pt>
                <c:pt idx="20">
                  <c:v>561</c:v>
                </c:pt>
                <c:pt idx="21">
                  <c:v>615</c:v>
                </c:pt>
                <c:pt idx="22">
                  <c:v>833</c:v>
                </c:pt>
                <c:pt idx="23">
                  <c:v>789</c:v>
                </c:pt>
                <c:pt idx="24">
                  <c:v>634</c:v>
                </c:pt>
              </c:numCache>
            </c:numRef>
          </c:xVal>
          <c:yVal>
            <c:numRef>
              <c:f>Sheet1!$G$2:$G$26</c:f>
              <c:numCache>
                <c:formatCode>0</c:formatCode>
                <c:ptCount val="25"/>
                <c:pt idx="0">
                  <c:v>136</c:v>
                </c:pt>
                <c:pt idx="1">
                  <c:v>599</c:v>
                </c:pt>
                <c:pt idx="2">
                  <c:v>749</c:v>
                </c:pt>
                <c:pt idx="3">
                  <c:v>610</c:v>
                </c:pt>
                <c:pt idx="4">
                  <c:v>647</c:v>
                </c:pt>
                <c:pt idx="5">
                  <c:v>288</c:v>
                </c:pt>
                <c:pt idx="6">
                  <c:v>879</c:v>
                </c:pt>
                <c:pt idx="7">
                  <c:v>816</c:v>
                </c:pt>
                <c:pt idx="8">
                  <c:v>775</c:v>
                </c:pt>
                <c:pt idx="9">
                  <c:v>478</c:v>
                </c:pt>
                <c:pt idx="10">
                  <c:v>267</c:v>
                </c:pt>
                <c:pt idx="11">
                  <c:v>518</c:v>
                </c:pt>
                <c:pt idx="12">
                  <c:v>523</c:v>
                </c:pt>
                <c:pt idx="13">
                  <c:v>691</c:v>
                </c:pt>
                <c:pt idx="14">
                  <c:v>390</c:v>
                </c:pt>
                <c:pt idx="15">
                  <c:v>263</c:v>
                </c:pt>
                <c:pt idx="16">
                  <c:v>374</c:v>
                </c:pt>
                <c:pt idx="17">
                  <c:v>370</c:v>
                </c:pt>
                <c:pt idx="18">
                  <c:v>0</c:v>
                </c:pt>
                <c:pt idx="19">
                  <c:v>123</c:v>
                </c:pt>
                <c:pt idx="20">
                  <c:v>561</c:v>
                </c:pt>
                <c:pt idx="21">
                  <c:v>616</c:v>
                </c:pt>
                <c:pt idx="22">
                  <c:v>834</c:v>
                </c:pt>
                <c:pt idx="23">
                  <c:v>790</c:v>
                </c:pt>
                <c:pt idx="24">
                  <c:v>635</c:v>
                </c:pt>
              </c:numCache>
            </c:numRef>
          </c:yVal>
          <c:bubbleSize>
            <c:numRef>
              <c:f>Sheet1!$H$2:$H$26</c:f>
              <c:numCache>
                <c:formatCode>0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76683984"/>
        <c:axId val="476688296"/>
      </c:bubbleChart>
      <c:valAx>
        <c:axId val="47668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8296"/>
        <c:crosses val="autoZero"/>
        <c:crossBetween val="midCat"/>
      </c:valAx>
      <c:valAx>
        <c:axId val="47668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90487</xdr:rowOff>
    </xdr:from>
    <xdr:to>
      <xdr:col>5</xdr:col>
      <xdr:colOff>285750</xdr:colOff>
      <xdr:row>23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6"/>
  <sheetViews>
    <sheetView workbookViewId="0">
      <selection activeCell="H2" sqref="H2"/>
    </sheetView>
  </sheetViews>
  <sheetFormatPr defaultRowHeight="15" x14ac:dyDescent="0.25"/>
  <cols>
    <col min="1" max="1" width="9.140625" style="1"/>
    <col min="2" max="2" width="22.28515625" style="1" customWidth="1"/>
    <col min="3" max="4" width="22.140625" style="8" customWidth="1"/>
    <col min="5" max="16384" width="9.140625" style="1"/>
  </cols>
  <sheetData>
    <row r="1" spans="1:4" ht="15.75" thickBot="1" x14ac:dyDescent="0.3">
      <c r="A1" s="5" t="s">
        <v>0</v>
      </c>
      <c r="B1" s="2" t="s">
        <v>1</v>
      </c>
      <c r="C1" s="9" t="s">
        <v>52</v>
      </c>
      <c r="D1" s="9" t="s">
        <v>52</v>
      </c>
    </row>
    <row r="2" spans="1:4" ht="15.75" thickBot="1" x14ac:dyDescent="0.3">
      <c r="A2" s="6" t="s">
        <v>2</v>
      </c>
      <c r="B2" s="3" t="s">
        <v>3</v>
      </c>
      <c r="C2" s="8" t="str">
        <f>capitalizeCallSign(A2,B2)</f>
        <v>Maya airways</v>
      </c>
      <c r="D2" s="8" t="str">
        <f>theaddress(C2)</f>
        <v>$C$2</v>
      </c>
    </row>
    <row r="3" spans="1:4" ht="15.75" thickBot="1" x14ac:dyDescent="0.3">
      <c r="A3" s="6" t="s">
        <v>4</v>
      </c>
      <c r="B3" s="3" t="s">
        <v>5</v>
      </c>
      <c r="C3" s="8" t="str">
        <f t="shared" ref="C3:D26" si="0">capitalizeCallSign(A3,B3)</f>
        <v>asiana airlines</v>
      </c>
      <c r="D3" s="8" t="str">
        <f>getTheColor(A3)</f>
        <v>781414</v>
      </c>
    </row>
    <row r="4" spans="1:4" ht="15.75" thickBot="1" x14ac:dyDescent="0.3">
      <c r="A4" s="6" t="s">
        <v>6</v>
      </c>
      <c r="B4" s="3" t="s">
        <v>7</v>
      </c>
      <c r="C4" s="8" t="str">
        <f t="shared" si="0"/>
        <v>austrian airlines</v>
      </c>
      <c r="D4" s="8" t="str">
        <f t="shared" si="0"/>
        <v>Austrian Airlines</v>
      </c>
    </row>
    <row r="5" spans="1:4" ht="15.75" thickBot="1" x14ac:dyDescent="0.3">
      <c r="A5" s="6" t="s">
        <v>8</v>
      </c>
      <c r="B5" s="3" t="s">
        <v>9</v>
      </c>
      <c r="C5" s="8" t="str">
        <f t="shared" si="0"/>
        <v>bahamas air</v>
      </c>
      <c r="D5" s="8" t="str">
        <f t="shared" si="0"/>
        <v>Bahamas Air</v>
      </c>
    </row>
    <row r="6" spans="1:4" ht="15.75" thickBot="1" x14ac:dyDescent="0.3">
      <c r="A6" s="6" t="s">
        <v>10</v>
      </c>
      <c r="B6" s="3" t="s">
        <v>11</v>
      </c>
      <c r="C6" s="8" t="str">
        <f t="shared" si="0"/>
        <v>niki</v>
      </c>
      <c r="D6" s="8" t="str">
        <f t="shared" si="0"/>
        <v>Niki</v>
      </c>
    </row>
    <row r="7" spans="1:4" ht="15.75" thickBot="1" x14ac:dyDescent="0.3">
      <c r="A7" s="6" t="s">
        <v>12</v>
      </c>
      <c r="B7" s="3" t="s">
        <v>13</v>
      </c>
      <c r="C7" s="8" t="str">
        <f t="shared" si="0"/>
        <v>north Wright air</v>
      </c>
      <c r="D7" s="8" t="str">
        <f t="shared" si="0"/>
        <v>North Wright Air</v>
      </c>
    </row>
    <row r="8" spans="1:4" ht="15.75" thickBot="1" x14ac:dyDescent="0.3">
      <c r="A8" s="6" t="s">
        <v>14</v>
      </c>
      <c r="B8" s="3" t="s">
        <v>15</v>
      </c>
      <c r="C8" s="8" t="str">
        <f t="shared" si="0"/>
        <v>Ethiopian airlines</v>
      </c>
      <c r="D8" s="8" t="str">
        <f t="shared" si="0"/>
        <v>Ethiopian Airlines</v>
      </c>
    </row>
    <row r="9" spans="1:4" ht="15.75" thickBot="1" x14ac:dyDescent="0.3">
      <c r="A9" s="6" t="s">
        <v>16</v>
      </c>
      <c r="B9" s="3" t="s">
        <v>17</v>
      </c>
      <c r="C9" s="8" t="str">
        <f t="shared" si="0"/>
        <v>air Madagascar</v>
      </c>
      <c r="D9" s="8" t="str">
        <f t="shared" si="0"/>
        <v>Air Madagascar</v>
      </c>
    </row>
    <row r="10" spans="1:4" ht="15.75" thickBot="1" x14ac:dyDescent="0.3">
      <c r="A10" s="6" t="s">
        <v>18</v>
      </c>
      <c r="B10" s="3" t="s">
        <v>19</v>
      </c>
      <c r="C10" s="8" t="str">
        <f t="shared" si="0"/>
        <v>air Mauritius</v>
      </c>
      <c r="D10" s="8" t="str">
        <f t="shared" si="0"/>
        <v>Air Mauritius</v>
      </c>
    </row>
    <row r="11" spans="1:4" ht="15.75" thickBot="1" x14ac:dyDescent="0.3">
      <c r="A11" s="6" t="s">
        <v>20</v>
      </c>
      <c r="B11" s="3" t="s">
        <v>21</v>
      </c>
      <c r="C11" s="8" t="str">
        <f t="shared" si="0"/>
        <v>air moldova</v>
      </c>
      <c r="D11" s="8" t="str">
        <f t="shared" si="0"/>
        <v>Air Moldova</v>
      </c>
    </row>
    <row r="12" spans="1:4" ht="15.75" thickBot="1" x14ac:dyDescent="0.3">
      <c r="A12" s="6" t="s">
        <v>22</v>
      </c>
      <c r="B12" s="3" t="s">
        <v>23</v>
      </c>
      <c r="C12" s="8" t="str">
        <f t="shared" si="0"/>
        <v>KLM airlines</v>
      </c>
      <c r="D12" s="8" t="str">
        <f t="shared" si="0"/>
        <v>KLM Airlines</v>
      </c>
    </row>
    <row r="13" spans="1:4" ht="15.75" thickBot="1" x14ac:dyDescent="0.3">
      <c r="A13" s="6" t="s">
        <v>24</v>
      </c>
      <c r="B13" s="3" t="s">
        <v>25</v>
      </c>
      <c r="C13" s="8" t="str">
        <f t="shared" si="0"/>
        <v>swiss</v>
      </c>
      <c r="D13" s="8" t="str">
        <f t="shared" si="0"/>
        <v>Swiss</v>
      </c>
    </row>
    <row r="14" spans="1:4" ht="15.75" thickBot="1" x14ac:dyDescent="0.3">
      <c r="A14" s="6" t="s">
        <v>26</v>
      </c>
      <c r="B14" s="3" t="s">
        <v>27</v>
      </c>
      <c r="C14" s="8" t="str">
        <f t="shared" si="0"/>
        <v>United Airlines</v>
      </c>
      <c r="D14" s="8" t="str">
        <f t="shared" si="0"/>
        <v>United Airlines</v>
      </c>
    </row>
    <row r="15" spans="1:4" ht="15.75" thickBot="1" x14ac:dyDescent="0.3">
      <c r="A15" s="6" t="s">
        <v>28</v>
      </c>
      <c r="B15" s="3" t="s">
        <v>29</v>
      </c>
      <c r="C15" s="8" t="str">
        <f t="shared" si="0"/>
        <v>US airways</v>
      </c>
      <c r="D15" s="8" t="str">
        <f t="shared" si="0"/>
        <v>US Airways</v>
      </c>
    </row>
    <row r="16" spans="1:4" ht="15.75" thickBot="1" x14ac:dyDescent="0.3">
      <c r="A16" s="6" t="s">
        <v>30</v>
      </c>
      <c r="B16" s="3" t="s">
        <v>31</v>
      </c>
      <c r="C16" s="8" t="str">
        <f t="shared" si="0"/>
        <v>tAME</v>
      </c>
      <c r="D16" s="8" t="str">
        <f t="shared" si="0"/>
        <v>TAME</v>
      </c>
    </row>
    <row r="17" spans="1:4" ht="15.75" thickBot="1" x14ac:dyDescent="0.3">
      <c r="A17" s="6" t="s">
        <v>32</v>
      </c>
      <c r="B17" s="3" t="s">
        <v>33</v>
      </c>
      <c r="C17" s="8" t="str">
        <f t="shared" si="0"/>
        <v>new England airlines</v>
      </c>
      <c r="D17" s="8" t="str">
        <f t="shared" si="0"/>
        <v>New England Airlines</v>
      </c>
    </row>
    <row r="18" spans="1:4" ht="15.75" thickBot="1" x14ac:dyDescent="0.3">
      <c r="A18" s="6" t="s">
        <v>34</v>
      </c>
      <c r="B18" s="3" t="s">
        <v>35</v>
      </c>
      <c r="C18" s="8" t="str">
        <f t="shared" si="0"/>
        <v>Brit air</v>
      </c>
      <c r="D18" s="8" t="str">
        <f t="shared" si="0"/>
        <v>Brit Air</v>
      </c>
    </row>
    <row r="19" spans="1:4" ht="15.75" thickBot="1" x14ac:dyDescent="0.3">
      <c r="A19" s="6" t="s">
        <v>36</v>
      </c>
      <c r="B19" s="3" t="s">
        <v>37</v>
      </c>
      <c r="C19" s="8" t="str">
        <f t="shared" si="0"/>
        <v>island air</v>
      </c>
      <c r="D19" s="8" t="str">
        <f t="shared" si="0"/>
        <v>Island Air</v>
      </c>
    </row>
    <row r="20" spans="1:4" ht="15.75" thickBot="1" x14ac:dyDescent="0.3">
      <c r="A20" s="6" t="s">
        <v>38</v>
      </c>
      <c r="B20" s="3" t="s">
        <v>39</v>
      </c>
      <c r="C20" s="8" t="str">
        <f t="shared" si="0"/>
        <v>tropic air</v>
      </c>
      <c r="D20" s="8" t="str">
        <f t="shared" si="0"/>
        <v>Tropic Air</v>
      </c>
    </row>
    <row r="21" spans="1:4" ht="15.75" thickBot="1" x14ac:dyDescent="0.3">
      <c r="A21" s="6" t="s">
        <v>40</v>
      </c>
      <c r="B21" s="3" t="s">
        <v>41</v>
      </c>
      <c r="C21" s="8" t="str">
        <f t="shared" si="0"/>
        <v>aer arann Express</v>
      </c>
      <c r="D21" s="8" t="str">
        <f t="shared" si="0"/>
        <v>Aer Arann Express</v>
      </c>
    </row>
    <row r="22" spans="1:4" ht="15.75" thickBot="1" x14ac:dyDescent="0.3">
      <c r="A22" s="6" t="s">
        <v>42</v>
      </c>
      <c r="B22" s="3" t="s">
        <v>43</v>
      </c>
      <c r="C22" s="8" t="str">
        <f t="shared" si="0"/>
        <v>air niugini</v>
      </c>
      <c r="D22" s="8" t="str">
        <f t="shared" si="0"/>
        <v>Air Niugini</v>
      </c>
    </row>
    <row r="23" spans="1:4" ht="15.75" thickBot="1" x14ac:dyDescent="0.3">
      <c r="A23" s="6" t="s">
        <v>44</v>
      </c>
      <c r="B23" s="3" t="s">
        <v>45</v>
      </c>
      <c r="C23" s="8" t="str">
        <f t="shared" si="0"/>
        <v>aeroflot russian airlines</v>
      </c>
      <c r="D23" s="8" t="str">
        <f t="shared" si="0"/>
        <v>Aeroflot Russian Airlines</v>
      </c>
    </row>
    <row r="24" spans="1:4" ht="15.75" thickBot="1" x14ac:dyDescent="0.3">
      <c r="A24" s="6" t="s">
        <v>46</v>
      </c>
      <c r="B24" s="3" t="s">
        <v>47</v>
      </c>
      <c r="C24" s="8" t="str">
        <f t="shared" si="0"/>
        <v>China southern airlines</v>
      </c>
      <c r="D24" s="8" t="str">
        <f t="shared" si="0"/>
        <v>China Southern Airlines</v>
      </c>
    </row>
    <row r="25" spans="1:4" ht="15.75" thickBot="1" x14ac:dyDescent="0.3">
      <c r="A25" s="6" t="s">
        <v>48</v>
      </c>
      <c r="B25" s="3" t="s">
        <v>49</v>
      </c>
      <c r="C25" s="8" t="str">
        <f t="shared" si="0"/>
        <v>Lufthansa airlines</v>
      </c>
      <c r="D25" s="8" t="str">
        <f t="shared" si="0"/>
        <v>Lufthansa Airlines</v>
      </c>
    </row>
    <row r="26" spans="1:4" ht="15.75" thickBot="1" x14ac:dyDescent="0.3">
      <c r="A26" s="7" t="s">
        <v>50</v>
      </c>
      <c r="B26" s="4" t="s">
        <v>51</v>
      </c>
      <c r="C26" s="8" t="str">
        <f t="shared" si="0"/>
        <v>Royal Jordanian</v>
      </c>
      <c r="D26" s="8" t="str">
        <f t="shared" si="0"/>
        <v>Royal Jordanian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tabSelected="1" workbookViewId="0">
      <selection activeCell="B31" sqref="B31"/>
    </sheetView>
  </sheetViews>
  <sheetFormatPr defaultRowHeight="15" x14ac:dyDescent="0.25"/>
  <cols>
    <col min="1" max="1" width="26.7109375" style="12" customWidth="1"/>
    <col min="2" max="2" width="23.85546875" style="12" customWidth="1"/>
    <col min="3" max="4" width="14.140625" style="12" bestFit="1" customWidth="1"/>
    <col min="5" max="5" width="12.140625" style="12" customWidth="1"/>
    <col min="6" max="7" width="11.5703125" style="12" customWidth="1"/>
    <col min="8" max="16384" width="9.140625" style="12"/>
  </cols>
  <sheetData>
    <row r="1" spans="1:8" ht="15.75" thickBot="1" x14ac:dyDescent="0.3">
      <c r="E1" s="12" t="s">
        <v>53</v>
      </c>
      <c r="F1" s="12" t="s">
        <v>55</v>
      </c>
      <c r="G1" s="12" t="s">
        <v>56</v>
      </c>
      <c r="H1" s="12" t="s">
        <v>54</v>
      </c>
    </row>
    <row r="2" spans="1:8" ht="16.5" thickBot="1" x14ac:dyDescent="0.3">
      <c r="A2" s="10">
        <v>1437728194149</v>
      </c>
      <c r="B2" s="11">
        <v>1437728194149</v>
      </c>
      <c r="C2" s="12">
        <f>MIN(A2:A26)</f>
        <v>1437728194013</v>
      </c>
      <c r="D2" s="12">
        <f>MAX(B2:B26)</f>
        <v>1437728194892</v>
      </c>
      <c r="E2" s="12">
        <f>D2-C2</f>
        <v>879</v>
      </c>
      <c r="F2" s="12">
        <f>A2-$C$2</f>
        <v>136</v>
      </c>
      <c r="G2" s="12">
        <f>B2-$C$2</f>
        <v>136</v>
      </c>
      <c r="H2" s="12">
        <f>B2-A2+1</f>
        <v>1</v>
      </c>
    </row>
    <row r="3" spans="1:8" ht="16.5" thickBot="1" x14ac:dyDescent="0.3">
      <c r="A3" s="10">
        <v>1437728194612</v>
      </c>
      <c r="B3" s="11">
        <v>1437728194612</v>
      </c>
      <c r="F3" s="12">
        <f t="shared" ref="F3:F26" si="0">A3-$C$2</f>
        <v>599</v>
      </c>
      <c r="G3" s="12">
        <f t="shared" ref="G3:G26" si="1">B3-$C$2</f>
        <v>599</v>
      </c>
      <c r="H3" s="12">
        <f t="shared" ref="H3:H26" si="2">B3-A3+1</f>
        <v>1</v>
      </c>
    </row>
    <row r="4" spans="1:8" ht="16.5" thickBot="1" x14ac:dyDescent="0.3">
      <c r="A4" s="10">
        <v>1437728194761</v>
      </c>
      <c r="B4" s="11">
        <v>1437728194762</v>
      </c>
      <c r="F4" s="12">
        <f t="shared" si="0"/>
        <v>748</v>
      </c>
      <c r="G4" s="12">
        <f t="shared" si="1"/>
        <v>749</v>
      </c>
      <c r="H4" s="12">
        <f t="shared" si="2"/>
        <v>2</v>
      </c>
    </row>
    <row r="5" spans="1:8" ht="16.5" thickBot="1" x14ac:dyDescent="0.3">
      <c r="A5" s="10">
        <v>1437728194622</v>
      </c>
      <c r="B5" s="11">
        <v>1437728194623</v>
      </c>
      <c r="F5" s="12">
        <f t="shared" si="0"/>
        <v>609</v>
      </c>
      <c r="G5" s="12">
        <f t="shared" si="1"/>
        <v>610</v>
      </c>
      <c r="H5" s="12">
        <f t="shared" si="2"/>
        <v>2</v>
      </c>
    </row>
    <row r="6" spans="1:8" ht="16.5" thickBot="1" x14ac:dyDescent="0.3">
      <c r="A6" s="10">
        <v>1437728194660</v>
      </c>
      <c r="B6" s="11">
        <v>1437728194660</v>
      </c>
      <c r="F6" s="12">
        <f t="shared" si="0"/>
        <v>647</v>
      </c>
      <c r="G6" s="12">
        <f t="shared" si="1"/>
        <v>647</v>
      </c>
      <c r="H6" s="12">
        <f t="shared" si="2"/>
        <v>1</v>
      </c>
    </row>
    <row r="7" spans="1:8" ht="16.5" thickBot="1" x14ac:dyDescent="0.3">
      <c r="A7" s="10">
        <v>1437728194300</v>
      </c>
      <c r="B7" s="11">
        <v>1437728194301</v>
      </c>
      <c r="F7" s="12">
        <f t="shared" si="0"/>
        <v>287</v>
      </c>
      <c r="G7" s="12">
        <f t="shared" si="1"/>
        <v>288</v>
      </c>
      <c r="H7" s="12">
        <f t="shared" si="2"/>
        <v>2</v>
      </c>
    </row>
    <row r="8" spans="1:8" ht="16.5" thickBot="1" x14ac:dyDescent="0.3">
      <c r="A8" s="10">
        <v>1437728194891</v>
      </c>
      <c r="B8" s="11">
        <v>1437728194892</v>
      </c>
      <c r="F8" s="12">
        <f t="shared" si="0"/>
        <v>878</v>
      </c>
      <c r="G8" s="12">
        <f t="shared" si="1"/>
        <v>879</v>
      </c>
      <c r="H8" s="12">
        <f t="shared" si="2"/>
        <v>2</v>
      </c>
    </row>
    <row r="9" spans="1:8" ht="16.5" thickBot="1" x14ac:dyDescent="0.3">
      <c r="A9" s="10">
        <v>1437728194829</v>
      </c>
      <c r="B9" s="11">
        <v>1437728194829</v>
      </c>
      <c r="F9" s="12">
        <f t="shared" si="0"/>
        <v>816</v>
      </c>
      <c r="G9" s="12">
        <f t="shared" si="1"/>
        <v>816</v>
      </c>
      <c r="H9" s="12">
        <f t="shared" si="2"/>
        <v>1</v>
      </c>
    </row>
    <row r="10" spans="1:8" ht="16.5" thickBot="1" x14ac:dyDescent="0.3">
      <c r="A10" s="10">
        <v>1437728194788</v>
      </c>
      <c r="B10" s="11">
        <v>1437728194788</v>
      </c>
      <c r="F10" s="12">
        <f t="shared" si="0"/>
        <v>775</v>
      </c>
      <c r="G10" s="12">
        <f t="shared" si="1"/>
        <v>775</v>
      </c>
      <c r="H10" s="12">
        <f t="shared" si="2"/>
        <v>1</v>
      </c>
    </row>
    <row r="11" spans="1:8" ht="16.5" thickBot="1" x14ac:dyDescent="0.3">
      <c r="A11" s="10">
        <v>1437728194490</v>
      </c>
      <c r="B11" s="11">
        <v>1437728194491</v>
      </c>
      <c r="F11" s="12">
        <f t="shared" si="0"/>
        <v>477</v>
      </c>
      <c r="G11" s="12">
        <f t="shared" si="1"/>
        <v>478</v>
      </c>
      <c r="H11" s="12">
        <f t="shared" si="2"/>
        <v>2</v>
      </c>
    </row>
    <row r="12" spans="1:8" ht="16.5" thickBot="1" x14ac:dyDescent="0.3">
      <c r="A12" s="10">
        <v>1437728194279</v>
      </c>
      <c r="B12" s="11">
        <v>1437728194280</v>
      </c>
      <c r="F12" s="12">
        <f t="shared" si="0"/>
        <v>266</v>
      </c>
      <c r="G12" s="12">
        <f t="shared" si="1"/>
        <v>267</v>
      </c>
      <c r="H12" s="12">
        <f t="shared" si="2"/>
        <v>2</v>
      </c>
    </row>
    <row r="13" spans="1:8" ht="16.5" thickBot="1" x14ac:dyDescent="0.3">
      <c r="A13" s="10">
        <v>1437728194531</v>
      </c>
      <c r="B13" s="11">
        <v>1437728194531</v>
      </c>
      <c r="F13" s="12">
        <f t="shared" si="0"/>
        <v>518</v>
      </c>
      <c r="G13" s="12">
        <f t="shared" si="1"/>
        <v>518</v>
      </c>
      <c r="H13" s="12">
        <f t="shared" si="2"/>
        <v>1</v>
      </c>
    </row>
    <row r="14" spans="1:8" ht="16.5" thickBot="1" x14ac:dyDescent="0.3">
      <c r="A14" s="10">
        <v>1437728194535</v>
      </c>
      <c r="B14" s="11">
        <v>1437728194536</v>
      </c>
      <c r="F14" s="12">
        <f t="shared" si="0"/>
        <v>522</v>
      </c>
      <c r="G14" s="12">
        <f t="shared" si="1"/>
        <v>523</v>
      </c>
      <c r="H14" s="12">
        <f t="shared" si="2"/>
        <v>2</v>
      </c>
    </row>
    <row r="15" spans="1:8" ht="16.5" thickBot="1" x14ac:dyDescent="0.3">
      <c r="A15" s="10">
        <v>1437728194703</v>
      </c>
      <c r="B15" s="11">
        <v>1437728194704</v>
      </c>
      <c r="F15" s="12">
        <f t="shared" si="0"/>
        <v>690</v>
      </c>
      <c r="G15" s="12">
        <f t="shared" si="1"/>
        <v>691</v>
      </c>
      <c r="H15" s="12">
        <f t="shared" si="2"/>
        <v>2</v>
      </c>
    </row>
    <row r="16" spans="1:8" ht="16.5" thickBot="1" x14ac:dyDescent="0.3">
      <c r="A16" s="10">
        <v>1437728194403</v>
      </c>
      <c r="B16" s="11">
        <v>1437728194403</v>
      </c>
      <c r="F16" s="12">
        <f t="shared" si="0"/>
        <v>390</v>
      </c>
      <c r="G16" s="12">
        <f t="shared" si="1"/>
        <v>390</v>
      </c>
      <c r="H16" s="12">
        <f t="shared" si="2"/>
        <v>1</v>
      </c>
    </row>
    <row r="17" spans="1:8" ht="16.5" thickBot="1" x14ac:dyDescent="0.3">
      <c r="A17" s="10">
        <v>1437728194276</v>
      </c>
      <c r="B17" s="11">
        <v>1437728194276</v>
      </c>
      <c r="F17" s="12">
        <f t="shared" si="0"/>
        <v>263</v>
      </c>
      <c r="G17" s="12">
        <f t="shared" si="1"/>
        <v>263</v>
      </c>
      <c r="H17" s="12">
        <f t="shared" si="2"/>
        <v>1</v>
      </c>
    </row>
    <row r="18" spans="1:8" ht="16.5" thickBot="1" x14ac:dyDescent="0.3">
      <c r="A18" s="10">
        <v>1437728194387</v>
      </c>
      <c r="B18" s="11">
        <v>1437728194387</v>
      </c>
      <c r="F18" s="12">
        <f t="shared" si="0"/>
        <v>374</v>
      </c>
      <c r="G18" s="12">
        <f t="shared" si="1"/>
        <v>374</v>
      </c>
      <c r="H18" s="12">
        <f t="shared" si="2"/>
        <v>1</v>
      </c>
    </row>
    <row r="19" spans="1:8" ht="16.5" thickBot="1" x14ac:dyDescent="0.3">
      <c r="A19" s="10">
        <v>1437728194383</v>
      </c>
      <c r="B19" s="11">
        <v>1437728194383</v>
      </c>
      <c r="F19" s="12">
        <f t="shared" si="0"/>
        <v>370</v>
      </c>
      <c r="G19" s="12">
        <f t="shared" si="1"/>
        <v>370</v>
      </c>
      <c r="H19" s="12">
        <f t="shared" si="2"/>
        <v>1</v>
      </c>
    </row>
    <row r="20" spans="1:8" ht="16.5" thickBot="1" x14ac:dyDescent="0.3">
      <c r="A20" s="10">
        <v>1437728194013</v>
      </c>
      <c r="B20" s="11">
        <v>1437728194013</v>
      </c>
      <c r="F20" s="12">
        <f t="shared" si="0"/>
        <v>0</v>
      </c>
      <c r="G20" s="12">
        <f t="shared" si="1"/>
        <v>0</v>
      </c>
      <c r="H20" s="12">
        <f t="shared" si="2"/>
        <v>1</v>
      </c>
    </row>
    <row r="21" spans="1:8" ht="16.5" thickBot="1" x14ac:dyDescent="0.3">
      <c r="A21" s="10">
        <v>1437728194135</v>
      </c>
      <c r="B21" s="11">
        <v>1437728194136</v>
      </c>
      <c r="F21" s="12">
        <f t="shared" si="0"/>
        <v>122</v>
      </c>
      <c r="G21" s="12">
        <f t="shared" si="1"/>
        <v>123</v>
      </c>
      <c r="H21" s="12">
        <f t="shared" si="2"/>
        <v>2</v>
      </c>
    </row>
    <row r="22" spans="1:8" ht="16.5" thickBot="1" x14ac:dyDescent="0.3">
      <c r="A22" s="10">
        <v>1437728194574</v>
      </c>
      <c r="B22" s="11">
        <v>1437728194574</v>
      </c>
      <c r="F22" s="12">
        <f t="shared" si="0"/>
        <v>561</v>
      </c>
      <c r="G22" s="12">
        <f t="shared" si="1"/>
        <v>561</v>
      </c>
      <c r="H22" s="12">
        <f t="shared" si="2"/>
        <v>1</v>
      </c>
    </row>
    <row r="23" spans="1:8" ht="16.5" thickBot="1" x14ac:dyDescent="0.3">
      <c r="A23" s="10">
        <v>1437728194628</v>
      </c>
      <c r="B23" s="11">
        <v>1437728194629</v>
      </c>
      <c r="F23" s="12">
        <f t="shared" si="0"/>
        <v>615</v>
      </c>
      <c r="G23" s="12">
        <f t="shared" si="1"/>
        <v>616</v>
      </c>
      <c r="H23" s="12">
        <f t="shared" si="2"/>
        <v>2</v>
      </c>
    </row>
    <row r="24" spans="1:8" ht="16.5" thickBot="1" x14ac:dyDescent="0.3">
      <c r="A24" s="10">
        <v>1437728194846</v>
      </c>
      <c r="B24" s="11">
        <v>1437728194847</v>
      </c>
      <c r="F24" s="12">
        <f t="shared" si="0"/>
        <v>833</v>
      </c>
      <c r="G24" s="12">
        <f t="shared" si="1"/>
        <v>834</v>
      </c>
      <c r="H24" s="12">
        <f t="shared" si="2"/>
        <v>2</v>
      </c>
    </row>
    <row r="25" spans="1:8" ht="16.5" thickBot="1" x14ac:dyDescent="0.3">
      <c r="A25" s="10">
        <v>1437728194802</v>
      </c>
      <c r="B25" s="11">
        <v>1437728194803</v>
      </c>
      <c r="F25" s="12">
        <f t="shared" si="0"/>
        <v>789</v>
      </c>
      <c r="G25" s="12">
        <f t="shared" si="1"/>
        <v>790</v>
      </c>
      <c r="H25" s="12">
        <f t="shared" si="2"/>
        <v>2</v>
      </c>
    </row>
    <row r="26" spans="1:8" ht="16.5" thickBot="1" x14ac:dyDescent="0.3">
      <c r="A26" s="10">
        <v>1437728194647</v>
      </c>
      <c r="B26" s="11">
        <v>1437728194648</v>
      </c>
      <c r="F26" s="12">
        <f t="shared" si="0"/>
        <v>634</v>
      </c>
      <c r="G26" s="12">
        <f t="shared" si="1"/>
        <v>635</v>
      </c>
      <c r="H26" s="12">
        <f t="shared" si="2"/>
        <v>2</v>
      </c>
    </row>
    <row r="30" spans="1:8" x14ac:dyDescent="0.25">
      <c r="A30" s="12">
        <v>36891</v>
      </c>
      <c r="B30" s="12">
        <f>WEEKNUM(A30)</f>
        <v>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lookup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Mcpherson</dc:creator>
  <cp:lastModifiedBy>Bruce Mcpherson</cp:lastModifiedBy>
  <dcterms:created xsi:type="dcterms:W3CDTF">2015-07-15T15:13:41Z</dcterms:created>
  <dcterms:modified xsi:type="dcterms:W3CDTF">2015-08-11T14:19:26Z</dcterms:modified>
</cp:coreProperties>
</file>